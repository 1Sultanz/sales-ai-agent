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tış Cədvəli" sheetId="1" state="visible" r:id="rId3"/>
    <sheet name="Xülasə" sheetId="2" state="visible" r:id="rId4"/>
  </sheets>
  <definedNames>
    <definedName function="false" hidden="true" localSheetId="0" name="_xlnm._FilterDatabase" vbProcedure="false">'Satış Cədvəli'!$A$1:$L$51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<sst xmlns="http://schemas.openxmlformats.org/spreadsheetml/2006/main" count="516" uniqueCount="231">
  <si>
    <t xml:space="preserve">İstifadəçi ID</t>
  </si>
  <si>
    <t xml:space="preserve">Mağaza ID</t>
  </si>
  <si>
    <t xml:space="preserve">Müştəri</t>
  </si>
  <si>
    <t xml:space="preserve">Satılan Məhsul</t>
  </si>
  <si>
    <t xml:space="preserve">Satış Tarixi</t>
  </si>
  <si>
    <t xml:space="preserve">Ünvan</t>
  </si>
  <si>
    <t xml:space="preserve">Email</t>
  </si>
  <si>
    <t xml:space="preserve">Telefon</t>
  </si>
  <si>
    <t xml:space="preserve">Miqdar</t>
  </si>
  <si>
    <t xml:space="preserve">Qiymət (AZN)</t>
  </si>
  <si>
    <t xml:space="preserve">Doğum Tarixi</t>
  </si>
  <si>
    <t xml:space="preserve">Daimi Müştəri</t>
  </si>
  <si>
    <t xml:space="preserve">USR-1001</t>
  </si>
  <si>
    <t xml:space="preserve">SHP-04</t>
  </si>
  <si>
    <t xml:space="preserve">Anar Həsənov</t>
  </si>
  <si>
    <t xml:space="preserve">Samsung Galaxy S24</t>
  </si>
  <si>
    <t xml:space="preserve">23.11.2024</t>
  </si>
  <si>
    <t xml:space="preserve">Nərimanov r., Neftçilər pr. 12</t>
  </si>
  <si>
    <t xml:space="preserve">anar.h@gmail.com</t>
  </si>
  <si>
    <t xml:space="preserve">+994 50 123 45 67</t>
  </si>
  <si>
    <t xml:space="preserve">01.01.1975</t>
  </si>
  <si>
    <t xml:space="preserve">Xeyr</t>
  </si>
  <si>
    <t xml:space="preserve">USR-1002</t>
  </si>
  <si>
    <t xml:space="preserve">SHP-02</t>
  </si>
  <si>
    <t xml:space="preserve">Günel Mahmudova</t>
  </si>
  <si>
    <t xml:space="preserve">Apple iPhone 15</t>
  </si>
  <si>
    <t xml:space="preserve">12.03.2024</t>
  </si>
  <si>
    <t xml:space="preserve">Yasamal r., İstiqlaliyyət küç. 7</t>
  </si>
  <si>
    <t xml:space="preserve">gunel.m@yahoo.com</t>
  </si>
  <si>
    <t xml:space="preserve">+994 55 234 56 78</t>
  </si>
  <si>
    <t xml:space="preserve">02.02.1976</t>
  </si>
  <si>
    <t xml:space="preserve">Bəli</t>
  </si>
  <si>
    <t xml:space="preserve">USR-1003</t>
  </si>
  <si>
    <t xml:space="preserve">Rauf Əliyev</t>
  </si>
  <si>
    <t xml:space="preserve">Lenovo ThinkPad</t>
  </si>
  <si>
    <t xml:space="preserve">29.10.2024</t>
  </si>
  <si>
    <t xml:space="preserve">Binəqədi r., Bakıxanov küç. 34</t>
  </si>
  <si>
    <t xml:space="preserve">rauf.a@mail.ru</t>
  </si>
  <si>
    <t xml:space="preserve">+994 70 345 67 89</t>
  </si>
  <si>
    <t xml:space="preserve">03.03.1977</t>
  </si>
  <si>
    <t xml:space="preserve">USR-1004</t>
  </si>
  <si>
    <t xml:space="preserve">SHP-09</t>
  </si>
  <si>
    <t xml:space="preserve">Sevinc Quliyeva</t>
  </si>
  <si>
    <t xml:space="preserve">HP LaserJet Printer</t>
  </si>
  <si>
    <t xml:space="preserve">15.09.2024</t>
  </si>
  <si>
    <t xml:space="preserve">Sabunçu r., Hüsü Hacıyev küç. 5</t>
  </si>
  <si>
    <t xml:space="preserve">sevinc.q@gmail.com</t>
  </si>
  <si>
    <t xml:space="preserve">+994 77 456 78 90</t>
  </si>
  <si>
    <t xml:space="preserve">04.04.1978</t>
  </si>
  <si>
    <t xml:space="preserve">USR-1005</t>
  </si>
  <si>
    <t xml:space="preserve">SHP-01</t>
  </si>
  <si>
    <t xml:space="preserve">Tural Hüseynov</t>
  </si>
  <si>
    <t xml:space="preserve">Sony WH-1000XM5 Qulaqlıq</t>
  </si>
  <si>
    <t xml:space="preserve">02.08.2024</t>
  </si>
  <si>
    <t xml:space="preserve">Nizami r., Füzuli küç. 18</t>
  </si>
  <si>
    <t xml:space="preserve">tural.h@hotmail.com</t>
  </si>
  <si>
    <t xml:space="preserve">+994 51 567 89 01</t>
  </si>
  <si>
    <t xml:space="preserve">05.05.1979</t>
  </si>
  <si>
    <t xml:space="preserve">USR-1006</t>
  </si>
  <si>
    <t xml:space="preserve">SHP-06</t>
  </si>
  <si>
    <t xml:space="preserve">Lalə Nəsirov</t>
  </si>
  <si>
    <t xml:space="preserve">Apple Watch Series 9</t>
  </si>
  <si>
    <t xml:space="preserve">22.03.2024</t>
  </si>
  <si>
    <t xml:space="preserve">Xətai r., Əliağa Vahid küç. 22</t>
  </si>
  <si>
    <t xml:space="preserve">lale.n@gmail.com</t>
  </si>
  <si>
    <t xml:space="preserve">+994 50 678 90 12</t>
  </si>
  <si>
    <t xml:space="preserve">06.06.1980</t>
  </si>
  <si>
    <t xml:space="preserve">USR-1007</t>
  </si>
  <si>
    <t xml:space="preserve">Elnur Babayev</t>
  </si>
  <si>
    <t xml:space="preserve">iPad Pro 12.9</t>
  </si>
  <si>
    <t xml:space="preserve">22.02.2024</t>
  </si>
  <si>
    <t xml:space="preserve">Suraxanı r., Xaqani küç. 9</t>
  </si>
  <si>
    <t xml:space="preserve">elnur.b@yahoo.com</t>
  </si>
  <si>
    <t xml:space="preserve">+994 55 789 01 23</t>
  </si>
  <si>
    <t xml:space="preserve">07.07.1981</t>
  </si>
  <si>
    <t xml:space="preserve">USR-1008</t>
  </si>
  <si>
    <t xml:space="preserve">Nigar Musayeva</t>
  </si>
  <si>
    <t xml:space="preserve">LG OLED TV 55"</t>
  </si>
  <si>
    <t xml:space="preserve">05.11.2024</t>
  </si>
  <si>
    <t xml:space="preserve">Qaradağ r., Muğan küç. 3</t>
  </si>
  <si>
    <t xml:space="preserve">nigar.m@mail.ru</t>
  </si>
  <si>
    <t xml:space="preserve">+994 70 890 12 34</t>
  </si>
  <si>
    <t xml:space="preserve">08.08.1982</t>
  </si>
  <si>
    <t xml:space="preserve">USR-1009</t>
  </si>
  <si>
    <t xml:space="preserve">SHP-10</t>
  </si>
  <si>
    <t xml:space="preserve">Kamran Rzayev</t>
  </si>
  <si>
    <t xml:space="preserve">Xiaomi Mi Band 8</t>
  </si>
  <si>
    <t xml:space="preserve">04.03.2024</t>
  </si>
  <si>
    <t xml:space="preserve">Sabail r., Əliheydər Qarayev küç. 41</t>
  </si>
  <si>
    <t xml:space="preserve">kamran.r@gmail.com</t>
  </si>
  <si>
    <t xml:space="preserve">+994 77 901 23 45</t>
  </si>
  <si>
    <t xml:space="preserve">09.09.1983</t>
  </si>
  <si>
    <t xml:space="preserve">USR-1010</t>
  </si>
  <si>
    <t xml:space="preserve">Aysel Əhmədova</t>
  </si>
  <si>
    <t xml:space="preserve">Canon EOS R50 Kamera</t>
  </si>
  <si>
    <t xml:space="preserve">04.07.2024</t>
  </si>
  <si>
    <t xml:space="preserve">Pirallahı r., Hüseyın Cavid küç. 15</t>
  </si>
  <si>
    <t xml:space="preserve">aysel.a@hotmail.com</t>
  </si>
  <si>
    <t xml:space="preserve">+994 51 012 34 56</t>
  </si>
  <si>
    <t xml:space="preserve">10.10.1984</t>
  </si>
  <si>
    <t xml:space="preserve">USR-1011</t>
  </si>
  <si>
    <t xml:space="preserve">SHP-07</t>
  </si>
  <si>
    <t xml:space="preserve">Vüsal Məmmədov</t>
  </si>
  <si>
    <t xml:space="preserve">Dell Monitor 27"</t>
  </si>
  <si>
    <t xml:space="preserve">28.05.2024</t>
  </si>
  <si>
    <t xml:space="preserve">vusal.m@gmail.com</t>
  </si>
  <si>
    <t xml:space="preserve">+994 50 321 65 43</t>
  </si>
  <si>
    <t xml:space="preserve">11.11.1985</t>
  </si>
  <si>
    <t xml:space="preserve">USR-1012</t>
  </si>
  <si>
    <t xml:space="preserve">Leyla Cəfərova</t>
  </si>
  <si>
    <t xml:space="preserve">Logitech MX Keys Klaviatura</t>
  </si>
  <si>
    <t xml:space="preserve">22.05.2024</t>
  </si>
  <si>
    <t xml:space="preserve">leyla.c@yahoo.com</t>
  </si>
  <si>
    <t xml:space="preserve">+994 55 432 10 98</t>
  </si>
  <si>
    <t xml:space="preserve">12.12.1986</t>
  </si>
  <si>
    <t xml:space="preserve">USR-1013</t>
  </si>
  <si>
    <t xml:space="preserve">Orxan Sultanov</t>
  </si>
  <si>
    <t xml:space="preserve">Asus ROG Oyun PC</t>
  </si>
  <si>
    <t xml:space="preserve">30.06.2024</t>
  </si>
  <si>
    <t xml:space="preserve">orxan.s@mail.ru</t>
  </si>
  <si>
    <t xml:space="preserve">+994 70 543 21 09</t>
  </si>
  <si>
    <t xml:space="preserve">13.01.1987</t>
  </si>
  <si>
    <t xml:space="preserve">USR-1014</t>
  </si>
  <si>
    <t xml:space="preserve">SHP-08</t>
  </si>
  <si>
    <t xml:space="preserve">Nərmin Hacıyeva</t>
  </si>
  <si>
    <t xml:space="preserve">JBL Bluetooth Speaker</t>
  </si>
  <si>
    <t xml:space="preserve">07.11.2024</t>
  </si>
  <si>
    <t xml:space="preserve">nermin.h@gmail.com</t>
  </si>
  <si>
    <t xml:space="preserve">+994 77 654 32 10</t>
  </si>
  <si>
    <t xml:space="preserve">14.02.1988</t>
  </si>
  <si>
    <t xml:space="preserve">USR-1015</t>
  </si>
  <si>
    <t xml:space="preserve">Elçin Qədirov</t>
  </si>
  <si>
    <t xml:space="preserve">Microsoft Surface Pro</t>
  </si>
  <si>
    <t xml:space="preserve">13.07.2024</t>
  </si>
  <si>
    <t xml:space="preserve">elchin.q@hotmail.com</t>
  </si>
  <si>
    <t xml:space="preserve">+994 51 765 43 21</t>
  </si>
  <si>
    <t xml:space="preserve">15.03.1989</t>
  </si>
  <si>
    <t xml:space="preserve">USR-1016</t>
  </si>
  <si>
    <t xml:space="preserve">Şəbnəm İsayeva</t>
  </si>
  <si>
    <t xml:space="preserve">22.04.2024</t>
  </si>
  <si>
    <t xml:space="preserve">sebnem.i@gmail.com</t>
  </si>
  <si>
    <t xml:space="preserve">+994 50 876 54 32</t>
  </si>
  <si>
    <t xml:space="preserve">16.04.1990</t>
  </si>
  <si>
    <t xml:space="preserve">USR-1017</t>
  </si>
  <si>
    <t xml:space="preserve">Murad Kərimov</t>
  </si>
  <si>
    <t xml:space="preserve">17.01.2024</t>
  </si>
  <si>
    <t xml:space="preserve">murad.k@yahoo.com</t>
  </si>
  <si>
    <t xml:space="preserve">+994 55 987 65 43</t>
  </si>
  <si>
    <t xml:space="preserve">17.05.1991</t>
  </si>
  <si>
    <t xml:space="preserve">USR-1018</t>
  </si>
  <si>
    <t xml:space="preserve">Zəhra Əsgərova</t>
  </si>
  <si>
    <t xml:space="preserve">10.06.2024</t>
  </si>
  <si>
    <t xml:space="preserve">zehra.e@mail.ru</t>
  </si>
  <si>
    <t xml:space="preserve">+994 70 098 76 54</t>
  </si>
  <si>
    <t xml:space="preserve">18.06.1992</t>
  </si>
  <si>
    <t xml:space="preserve">USR-1019</t>
  </si>
  <si>
    <t xml:space="preserve">Fərid Nəcəfov</t>
  </si>
  <si>
    <t xml:space="preserve">14.03.2024</t>
  </si>
  <si>
    <t xml:space="preserve">ferid.n@gmail.com</t>
  </si>
  <si>
    <t xml:space="preserve">+994 77 109 87 65</t>
  </si>
  <si>
    <t xml:space="preserve">19.07.1993</t>
  </si>
  <si>
    <t xml:space="preserve">USR-1020</t>
  </si>
  <si>
    <t xml:space="preserve">Könül Rəhimova</t>
  </si>
  <si>
    <t xml:space="preserve">14.05.2024</t>
  </si>
  <si>
    <t xml:space="preserve">konul.r@hotmail.com</t>
  </si>
  <si>
    <t xml:space="preserve">+994 51 210 98 76</t>
  </si>
  <si>
    <t xml:space="preserve">20.08.1994</t>
  </si>
  <si>
    <t xml:space="preserve">USR-1021</t>
  </si>
  <si>
    <t xml:space="preserve">USR-1022</t>
  </si>
  <si>
    <t xml:space="preserve">26.02.2024</t>
  </si>
  <si>
    <t xml:space="preserve">USR-1023</t>
  </si>
  <si>
    <t xml:space="preserve">01.11.2024</t>
  </si>
  <si>
    <t xml:space="preserve">USR-1024</t>
  </si>
  <si>
    <t xml:space="preserve">27.09.2024</t>
  </si>
  <si>
    <t xml:space="preserve">USR-1025</t>
  </si>
  <si>
    <t xml:space="preserve">SHP-05</t>
  </si>
  <si>
    <t xml:space="preserve">14.12.2024</t>
  </si>
  <si>
    <t xml:space="preserve">USR-1026</t>
  </si>
  <si>
    <t xml:space="preserve">24.11.2024</t>
  </si>
  <si>
    <t xml:space="preserve">USR-1027</t>
  </si>
  <si>
    <t xml:space="preserve">02.01.2024</t>
  </si>
  <si>
    <t xml:space="preserve">USR-1028</t>
  </si>
  <si>
    <t xml:space="preserve">24.02.2024</t>
  </si>
  <si>
    <t xml:space="preserve">USR-1029</t>
  </si>
  <si>
    <t xml:space="preserve">19.03.2024</t>
  </si>
  <si>
    <t xml:space="preserve">USR-1030</t>
  </si>
  <si>
    <t xml:space="preserve">01.01.2024</t>
  </si>
  <si>
    <t xml:space="preserve">USR-1031</t>
  </si>
  <si>
    <t xml:space="preserve">06.06.2024</t>
  </si>
  <si>
    <t xml:space="preserve">USR-1032</t>
  </si>
  <si>
    <t xml:space="preserve">13.02.2024</t>
  </si>
  <si>
    <t xml:space="preserve">USR-1033</t>
  </si>
  <si>
    <t xml:space="preserve">SHP-03</t>
  </si>
  <si>
    <t xml:space="preserve">05.03.2024</t>
  </si>
  <si>
    <t xml:space="preserve">USR-1034</t>
  </si>
  <si>
    <t xml:space="preserve">15.05.2024</t>
  </si>
  <si>
    <t xml:space="preserve">USR-1035</t>
  </si>
  <si>
    <t xml:space="preserve">03.10.2024</t>
  </si>
  <si>
    <t xml:space="preserve">USR-1036</t>
  </si>
  <si>
    <t xml:space="preserve">12.08.2024</t>
  </si>
  <si>
    <t xml:space="preserve">USR-1037</t>
  </si>
  <si>
    <t xml:space="preserve">22.06.2024</t>
  </si>
  <si>
    <t xml:space="preserve">USR-1038</t>
  </si>
  <si>
    <t xml:space="preserve">04.01.2024</t>
  </si>
  <si>
    <t xml:space="preserve">USR-1039</t>
  </si>
  <si>
    <t xml:space="preserve">USR-1040</t>
  </si>
  <si>
    <t xml:space="preserve">19.04.2024</t>
  </si>
  <si>
    <t xml:space="preserve">USR-1041</t>
  </si>
  <si>
    <t xml:space="preserve">22.10.2024</t>
  </si>
  <si>
    <t xml:space="preserve">USR-1042</t>
  </si>
  <si>
    <t xml:space="preserve">07.04.2024</t>
  </si>
  <si>
    <t xml:space="preserve">USR-1043</t>
  </si>
  <si>
    <t xml:space="preserve">29.07.2024</t>
  </si>
  <si>
    <t xml:space="preserve">USR-1044</t>
  </si>
  <si>
    <t xml:space="preserve">01.02.2024</t>
  </si>
  <si>
    <t xml:space="preserve">USR-1045</t>
  </si>
  <si>
    <t xml:space="preserve">07.05.2024</t>
  </si>
  <si>
    <t xml:space="preserve">USR-1046</t>
  </si>
  <si>
    <t xml:space="preserve">03.04.2024</t>
  </si>
  <si>
    <t xml:space="preserve">USR-1047</t>
  </si>
  <si>
    <t xml:space="preserve">14.08.2024</t>
  </si>
  <si>
    <t xml:space="preserve">USR-1048</t>
  </si>
  <si>
    <t xml:space="preserve">08.01.2024</t>
  </si>
  <si>
    <t xml:space="preserve">USR-1049</t>
  </si>
  <si>
    <t xml:space="preserve">27.07.2024</t>
  </si>
  <si>
    <t xml:space="preserve">USR-1050</t>
  </si>
  <si>
    <t xml:space="preserve">25.03.2024</t>
  </si>
  <si>
    <t xml:space="preserve">Ümumi Satış Sayı</t>
  </si>
  <si>
    <t xml:space="preserve">Ümumi Gəlir (AZN)</t>
  </si>
  <si>
    <t xml:space="preserve">Daimi Müştəri Sayı</t>
  </si>
  <si>
    <t xml:space="preserve">Ortalama Qiymət (AZN)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</si>
</sst>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32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8" hidden="false" customHeight="true" outlineLevel="0" collapsed="false">
      <c r="A2" s="2" t="s">
        <v>12</v>
      </c>
      <c r="B2" s="2" t="s">
        <v>13</v>
      </c>
      <c r="C2" s="3" t="s">
        <v>14</v>
      </c>
      <c r="D2" s="3" t="s">
        <v>15</v>
      </c>
      <c r="E2" s="2" t="s">
        <v>16</v>
      </c>
      <c r="F2" s="3" t="s">
        <v>17</v>
      </c>
      <c r="G2" s="3" t="s">
        <v>18</v>
      </c>
      <c r="H2" s="2" t="s">
        <v>19</v>
      </c>
      <c r="I2" s="2" t="n">
        <v>2</v>
      </c>
      <c r="J2" s="2" t="n">
        <v>111.28</v>
      </c>
      <c r="K2" s="2" t="s">
        <v>20</v>
      </c>
      <c r="L2" s="2" t="s">
        <v>21</v>
      </c>
    </row>
    <row r="3" customFormat="false" ht="18" hidden="false" customHeight="true" outlineLevel="0" collapsed="false">
      <c r="A3" s="4" t="s">
        <v>22</v>
      </c>
      <c r="B3" s="4" t="s">
        <v>23</v>
      </c>
      <c r="C3" s="5" t="s">
        <v>24</v>
      </c>
      <c r="D3" s="5" t="s">
        <v>25</v>
      </c>
      <c r="E3" s="4" t="s">
        <v>26</v>
      </c>
      <c r="F3" s="5" t="s">
        <v>27</v>
      </c>
      <c r="G3" s="5" t="s">
        <v>28</v>
      </c>
      <c r="H3" s="4" t="s">
        <v>29</v>
      </c>
      <c r="I3" s="4" t="n">
        <v>2</v>
      </c>
      <c r="J3" s="4" t="n">
        <v>1707.91</v>
      </c>
      <c r="K3" s="4" t="s">
        <v>30</v>
      </c>
      <c r="L3" s="4" t="s">
        <v>31</v>
      </c>
    </row>
    <row r="4" customFormat="false" ht="18" hidden="false" customHeight="true" outlineLevel="0" collapsed="false">
      <c r="A4" s="2" t="s">
        <v>32</v>
      </c>
      <c r="B4" s="2" t="s">
        <v>13</v>
      </c>
      <c r="C4" s="3" t="s">
        <v>33</v>
      </c>
      <c r="D4" s="3" t="s">
        <v>34</v>
      </c>
      <c r="E4" s="2" t="s">
        <v>35</v>
      </c>
      <c r="F4" s="3" t="s">
        <v>36</v>
      </c>
      <c r="G4" s="3" t="s">
        <v>37</v>
      </c>
      <c r="H4" s="2" t="s">
        <v>38</v>
      </c>
      <c r="I4" s="2" t="n">
        <v>7</v>
      </c>
      <c r="J4" s="2" t="n">
        <v>127.87</v>
      </c>
      <c r="K4" s="2" t="s">
        <v>39</v>
      </c>
      <c r="L4" s="2" t="s">
        <v>21</v>
      </c>
    </row>
    <row r="5" customFormat="false" ht="18" hidden="false" customHeight="true" outlineLevel="0" collapsed="false">
      <c r="A5" s="4" t="s">
        <v>40</v>
      </c>
      <c r="B5" s="4" t="s">
        <v>41</v>
      </c>
      <c r="C5" s="5" t="s">
        <v>42</v>
      </c>
      <c r="D5" s="5" t="s">
        <v>43</v>
      </c>
      <c r="E5" s="4" t="s">
        <v>44</v>
      </c>
      <c r="F5" s="5" t="s">
        <v>45</v>
      </c>
      <c r="G5" s="5" t="s">
        <v>46</v>
      </c>
      <c r="H5" s="4" t="s">
        <v>47</v>
      </c>
      <c r="I5" s="4" t="n">
        <v>10</v>
      </c>
      <c r="J5" s="4" t="n">
        <v>115.01</v>
      </c>
      <c r="K5" s="4" t="s">
        <v>48</v>
      </c>
      <c r="L5" s="4" t="s">
        <v>21</v>
      </c>
    </row>
    <row r="6" customFormat="false" ht="18" hidden="false" customHeight="true" outlineLevel="0" collapsed="false">
      <c r="A6" s="2" t="s">
        <v>49</v>
      </c>
      <c r="B6" s="2" t="s">
        <v>50</v>
      </c>
      <c r="C6" s="3" t="s">
        <v>51</v>
      </c>
      <c r="D6" s="3" t="s">
        <v>52</v>
      </c>
      <c r="E6" s="2" t="s">
        <v>53</v>
      </c>
      <c r="F6" s="3" t="s">
        <v>54</v>
      </c>
      <c r="G6" s="3" t="s">
        <v>55</v>
      </c>
      <c r="H6" s="2" t="s">
        <v>56</v>
      </c>
      <c r="I6" s="2" t="n">
        <v>4</v>
      </c>
      <c r="J6" s="2" t="n">
        <v>1150.56</v>
      </c>
      <c r="K6" s="2" t="s">
        <v>57</v>
      </c>
      <c r="L6" s="2" t="s">
        <v>21</v>
      </c>
    </row>
    <row r="7" customFormat="false" ht="18" hidden="false" customHeight="true" outlineLevel="0" collapsed="false">
      <c r="A7" s="4" t="s">
        <v>58</v>
      </c>
      <c r="B7" s="4" t="s">
        <v>59</v>
      </c>
      <c r="C7" s="5" t="s">
        <v>60</v>
      </c>
      <c r="D7" s="5" t="s">
        <v>61</v>
      </c>
      <c r="E7" s="4" t="s">
        <v>62</v>
      </c>
      <c r="F7" s="5" t="s">
        <v>63</v>
      </c>
      <c r="G7" s="5" t="s">
        <v>64</v>
      </c>
      <c r="H7" s="4" t="s">
        <v>65</v>
      </c>
      <c r="I7" s="4" t="n">
        <v>7</v>
      </c>
      <c r="J7" s="4" t="n">
        <v>883.61</v>
      </c>
      <c r="K7" s="4" t="s">
        <v>66</v>
      </c>
      <c r="L7" s="4" t="s">
        <v>21</v>
      </c>
    </row>
    <row r="8" customFormat="false" ht="18" hidden="false" customHeight="true" outlineLevel="0" collapsed="false">
      <c r="A8" s="2" t="s">
        <v>67</v>
      </c>
      <c r="B8" s="2" t="s">
        <v>59</v>
      </c>
      <c r="C8" s="3" t="s">
        <v>68</v>
      </c>
      <c r="D8" s="3" t="s">
        <v>69</v>
      </c>
      <c r="E8" s="2" t="s">
        <v>70</v>
      </c>
      <c r="F8" s="3" t="s">
        <v>71</v>
      </c>
      <c r="G8" s="3" t="s">
        <v>72</v>
      </c>
      <c r="H8" s="2" t="s">
        <v>73</v>
      </c>
      <c r="I8" s="2" t="n">
        <v>2</v>
      </c>
      <c r="J8" s="2" t="n">
        <v>980.82</v>
      </c>
      <c r="K8" s="2" t="s">
        <v>74</v>
      </c>
      <c r="L8" s="2" t="s">
        <v>21</v>
      </c>
    </row>
    <row r="9" customFormat="false" ht="18" hidden="false" customHeight="true" outlineLevel="0" collapsed="false">
      <c r="A9" s="4" t="s">
        <v>75</v>
      </c>
      <c r="B9" s="4" t="s">
        <v>41</v>
      </c>
      <c r="C9" s="5" t="s">
        <v>76</v>
      </c>
      <c r="D9" s="5" t="s">
        <v>77</v>
      </c>
      <c r="E9" s="4" t="s">
        <v>78</v>
      </c>
      <c r="F9" s="5" t="s">
        <v>79</v>
      </c>
      <c r="G9" s="5" t="s">
        <v>80</v>
      </c>
      <c r="H9" s="4" t="s">
        <v>81</v>
      </c>
      <c r="I9" s="4" t="n">
        <v>5</v>
      </c>
      <c r="J9" s="4" t="n">
        <v>2027.46</v>
      </c>
      <c r="K9" s="4" t="s">
        <v>82</v>
      </c>
      <c r="L9" s="4" t="s">
        <v>31</v>
      </c>
    </row>
    <row r="10" customFormat="false" ht="18" hidden="false" customHeight="true" outlineLevel="0" collapsed="false">
      <c r="A10" s="2" t="s">
        <v>83</v>
      </c>
      <c r="B10" s="2" t="s">
        <v>84</v>
      </c>
      <c r="C10" s="3" t="s">
        <v>85</v>
      </c>
      <c r="D10" s="3" t="s">
        <v>86</v>
      </c>
      <c r="E10" s="2" t="s">
        <v>87</v>
      </c>
      <c r="F10" s="3" t="s">
        <v>88</v>
      </c>
      <c r="G10" s="3" t="s">
        <v>89</v>
      </c>
      <c r="H10" s="2" t="s">
        <v>90</v>
      </c>
      <c r="I10" s="2" t="n">
        <v>7</v>
      </c>
      <c r="J10" s="2" t="n">
        <v>243.06</v>
      </c>
      <c r="K10" s="2" t="s">
        <v>91</v>
      </c>
      <c r="L10" s="2" t="s">
        <v>21</v>
      </c>
    </row>
    <row r="11" customFormat="false" ht="18" hidden="false" customHeight="true" outlineLevel="0" collapsed="false">
      <c r="A11" s="4" t="s">
        <v>92</v>
      </c>
      <c r="B11" s="4" t="s">
        <v>13</v>
      </c>
      <c r="C11" s="5" t="s">
        <v>93</v>
      </c>
      <c r="D11" s="5" t="s">
        <v>94</v>
      </c>
      <c r="E11" s="4" t="s">
        <v>95</v>
      </c>
      <c r="F11" s="5" t="s">
        <v>96</v>
      </c>
      <c r="G11" s="5" t="s">
        <v>97</v>
      </c>
      <c r="H11" s="4" t="s">
        <v>98</v>
      </c>
      <c r="I11" s="4" t="n">
        <v>10</v>
      </c>
      <c r="J11" s="4" t="n">
        <v>521.11</v>
      </c>
      <c r="K11" s="4" t="s">
        <v>99</v>
      </c>
      <c r="L11" s="4" t="s">
        <v>21</v>
      </c>
    </row>
    <row r="12" customFormat="false" ht="18" hidden="false" customHeight="true" outlineLevel="0" collapsed="false">
      <c r="A12" s="2" t="s">
        <v>100</v>
      </c>
      <c r="B12" s="2" t="s">
        <v>101</v>
      </c>
      <c r="C12" s="3" t="s">
        <v>102</v>
      </c>
      <c r="D12" s="3" t="s">
        <v>103</v>
      </c>
      <c r="E12" s="2" t="s">
        <v>104</v>
      </c>
      <c r="F12" s="3" t="s">
        <v>17</v>
      </c>
      <c r="G12" s="3" t="s">
        <v>105</v>
      </c>
      <c r="H12" s="2" t="s">
        <v>106</v>
      </c>
      <c r="I12" s="2" t="n">
        <v>2</v>
      </c>
      <c r="J12" s="2" t="n">
        <v>2145.53</v>
      </c>
      <c r="K12" s="2" t="s">
        <v>107</v>
      </c>
      <c r="L12" s="2" t="s">
        <v>31</v>
      </c>
    </row>
    <row r="13" customFormat="false" ht="18" hidden="false" customHeight="true" outlineLevel="0" collapsed="false">
      <c r="A13" s="4" t="s">
        <v>108</v>
      </c>
      <c r="B13" s="4" t="s">
        <v>59</v>
      </c>
      <c r="C13" s="5" t="s">
        <v>109</v>
      </c>
      <c r="D13" s="5" t="s">
        <v>110</v>
      </c>
      <c r="E13" s="4" t="s">
        <v>111</v>
      </c>
      <c r="F13" s="5" t="s">
        <v>27</v>
      </c>
      <c r="G13" s="5" t="s">
        <v>112</v>
      </c>
      <c r="H13" s="4" t="s">
        <v>113</v>
      </c>
      <c r="I13" s="4" t="n">
        <v>8</v>
      </c>
      <c r="J13" s="4" t="n">
        <v>1607.43</v>
      </c>
      <c r="K13" s="4" t="s">
        <v>114</v>
      </c>
      <c r="L13" s="4" t="s">
        <v>21</v>
      </c>
    </row>
    <row r="14" customFormat="false" ht="18" hidden="false" customHeight="true" outlineLevel="0" collapsed="false">
      <c r="A14" s="2" t="s">
        <v>115</v>
      </c>
      <c r="B14" s="2" t="s">
        <v>23</v>
      </c>
      <c r="C14" s="3" t="s">
        <v>116</v>
      </c>
      <c r="D14" s="3" t="s">
        <v>117</v>
      </c>
      <c r="E14" s="2" t="s">
        <v>118</v>
      </c>
      <c r="F14" s="3" t="s">
        <v>36</v>
      </c>
      <c r="G14" s="3" t="s">
        <v>119</v>
      </c>
      <c r="H14" s="2" t="s">
        <v>120</v>
      </c>
      <c r="I14" s="2" t="n">
        <v>4</v>
      </c>
      <c r="J14" s="2" t="n">
        <v>1691.93</v>
      </c>
      <c r="K14" s="2" t="s">
        <v>121</v>
      </c>
      <c r="L14" s="2" t="s">
        <v>31</v>
      </c>
    </row>
    <row r="15" customFormat="false" ht="18" hidden="false" customHeight="true" outlineLevel="0" collapsed="false">
      <c r="A15" s="4" t="s">
        <v>122</v>
      </c>
      <c r="B15" s="4" t="s">
        <v>123</v>
      </c>
      <c r="C15" s="5" t="s">
        <v>124</v>
      </c>
      <c r="D15" s="5" t="s">
        <v>125</v>
      </c>
      <c r="E15" s="4" t="s">
        <v>126</v>
      </c>
      <c r="F15" s="5" t="s">
        <v>45</v>
      </c>
      <c r="G15" s="5" t="s">
        <v>127</v>
      </c>
      <c r="H15" s="4" t="s">
        <v>128</v>
      </c>
      <c r="I15" s="4" t="n">
        <v>3</v>
      </c>
      <c r="J15" s="4" t="n">
        <v>1358.64</v>
      </c>
      <c r="K15" s="4" t="s">
        <v>129</v>
      </c>
      <c r="L15" s="4" t="s">
        <v>21</v>
      </c>
    </row>
    <row r="16" customFormat="false" ht="18" hidden="false" customHeight="true" outlineLevel="0" collapsed="false">
      <c r="A16" s="2" t="s">
        <v>130</v>
      </c>
      <c r="B16" s="2" t="s">
        <v>41</v>
      </c>
      <c r="C16" s="3" t="s">
        <v>131</v>
      </c>
      <c r="D16" s="3" t="s">
        <v>132</v>
      </c>
      <c r="E16" s="2" t="s">
        <v>133</v>
      </c>
      <c r="F16" s="3" t="s">
        <v>54</v>
      </c>
      <c r="G16" s="3" t="s">
        <v>134</v>
      </c>
      <c r="H16" s="2" t="s">
        <v>135</v>
      </c>
      <c r="I16" s="2" t="n">
        <v>5</v>
      </c>
      <c r="J16" s="2" t="n">
        <v>2474.33</v>
      </c>
      <c r="K16" s="2" t="s">
        <v>136</v>
      </c>
      <c r="L16" s="2" t="s">
        <v>31</v>
      </c>
    </row>
    <row r="17" customFormat="false" ht="18" hidden="false" customHeight="true" outlineLevel="0" collapsed="false">
      <c r="A17" s="4" t="s">
        <v>137</v>
      </c>
      <c r="B17" s="4" t="s">
        <v>13</v>
      </c>
      <c r="C17" s="5" t="s">
        <v>138</v>
      </c>
      <c r="D17" s="5" t="s">
        <v>15</v>
      </c>
      <c r="E17" s="4" t="s">
        <v>139</v>
      </c>
      <c r="F17" s="5" t="s">
        <v>63</v>
      </c>
      <c r="G17" s="5" t="s">
        <v>140</v>
      </c>
      <c r="H17" s="4" t="s">
        <v>141</v>
      </c>
      <c r="I17" s="4" t="n">
        <v>6</v>
      </c>
      <c r="J17" s="4" t="n">
        <v>2114.99</v>
      </c>
      <c r="K17" s="4" t="s">
        <v>142</v>
      </c>
      <c r="L17" s="4" t="s">
        <v>31</v>
      </c>
    </row>
    <row r="18" customFormat="false" ht="18" hidden="false" customHeight="true" outlineLevel="0" collapsed="false">
      <c r="A18" s="2" t="s">
        <v>143</v>
      </c>
      <c r="B18" s="2" t="s">
        <v>84</v>
      </c>
      <c r="C18" s="3" t="s">
        <v>144</v>
      </c>
      <c r="D18" s="3" t="s">
        <v>25</v>
      </c>
      <c r="E18" s="2" t="s">
        <v>145</v>
      </c>
      <c r="F18" s="3" t="s">
        <v>71</v>
      </c>
      <c r="G18" s="3" t="s">
        <v>146</v>
      </c>
      <c r="H18" s="2" t="s">
        <v>147</v>
      </c>
      <c r="I18" s="2" t="n">
        <v>6</v>
      </c>
      <c r="J18" s="2" t="n">
        <v>1032.85</v>
      </c>
      <c r="K18" s="2" t="s">
        <v>148</v>
      </c>
      <c r="L18" s="2" t="s">
        <v>21</v>
      </c>
    </row>
    <row r="19" customFormat="false" ht="18" hidden="false" customHeight="true" outlineLevel="0" collapsed="false">
      <c r="A19" s="4" t="s">
        <v>149</v>
      </c>
      <c r="B19" s="4" t="s">
        <v>123</v>
      </c>
      <c r="C19" s="5" t="s">
        <v>150</v>
      </c>
      <c r="D19" s="5" t="s">
        <v>34</v>
      </c>
      <c r="E19" s="4" t="s">
        <v>151</v>
      </c>
      <c r="F19" s="5" t="s">
        <v>79</v>
      </c>
      <c r="G19" s="5" t="s">
        <v>152</v>
      </c>
      <c r="H19" s="4" t="s">
        <v>153</v>
      </c>
      <c r="I19" s="4" t="n">
        <v>4</v>
      </c>
      <c r="J19" s="4" t="n">
        <v>1655.82</v>
      </c>
      <c r="K19" s="4" t="s">
        <v>154</v>
      </c>
      <c r="L19" s="4" t="s">
        <v>21</v>
      </c>
    </row>
    <row r="20" customFormat="false" ht="18" hidden="false" customHeight="true" outlineLevel="0" collapsed="false">
      <c r="A20" s="2" t="s">
        <v>155</v>
      </c>
      <c r="B20" s="2" t="s">
        <v>41</v>
      </c>
      <c r="C20" s="3" t="s">
        <v>156</v>
      </c>
      <c r="D20" s="3" t="s">
        <v>43</v>
      </c>
      <c r="E20" s="2" t="s">
        <v>157</v>
      </c>
      <c r="F20" s="3" t="s">
        <v>88</v>
      </c>
      <c r="G20" s="3" t="s">
        <v>158</v>
      </c>
      <c r="H20" s="2" t="s">
        <v>159</v>
      </c>
      <c r="I20" s="2" t="n">
        <v>5</v>
      </c>
      <c r="J20" s="2" t="n">
        <v>392.09</v>
      </c>
      <c r="K20" s="2" t="s">
        <v>160</v>
      </c>
      <c r="L20" s="2" t="s">
        <v>31</v>
      </c>
    </row>
    <row r="21" customFormat="false" ht="18" hidden="false" customHeight="true" outlineLevel="0" collapsed="false">
      <c r="A21" s="4" t="s">
        <v>161</v>
      </c>
      <c r="B21" s="4" t="s">
        <v>59</v>
      </c>
      <c r="C21" s="5" t="s">
        <v>162</v>
      </c>
      <c r="D21" s="5" t="s">
        <v>52</v>
      </c>
      <c r="E21" s="4" t="s">
        <v>163</v>
      </c>
      <c r="F21" s="5" t="s">
        <v>96</v>
      </c>
      <c r="G21" s="5" t="s">
        <v>164</v>
      </c>
      <c r="H21" s="4" t="s">
        <v>165</v>
      </c>
      <c r="I21" s="4" t="n">
        <v>10</v>
      </c>
      <c r="J21" s="4" t="n">
        <v>1099.66</v>
      </c>
      <c r="K21" s="4" t="s">
        <v>166</v>
      </c>
      <c r="L21" s="4" t="s">
        <v>31</v>
      </c>
    </row>
    <row r="22" customFormat="false" ht="18" hidden="false" customHeight="true" outlineLevel="0" collapsed="false">
      <c r="A22" s="2" t="s">
        <v>167</v>
      </c>
      <c r="B22" s="2" t="s">
        <v>50</v>
      </c>
      <c r="C22" s="3" t="s">
        <v>14</v>
      </c>
      <c r="D22" s="3" t="s">
        <v>61</v>
      </c>
      <c r="E22" s="2" t="s">
        <v>139</v>
      </c>
      <c r="F22" s="3" t="s">
        <v>17</v>
      </c>
      <c r="G22" s="3" t="s">
        <v>18</v>
      </c>
      <c r="H22" s="2" t="s">
        <v>19</v>
      </c>
      <c r="I22" s="2" t="n">
        <v>3</v>
      </c>
      <c r="J22" s="2" t="n">
        <v>1298.34</v>
      </c>
      <c r="K22" s="2" t="s">
        <v>20</v>
      </c>
      <c r="L22" s="2" t="s">
        <v>21</v>
      </c>
    </row>
    <row r="23" customFormat="false" ht="18" hidden="false" customHeight="true" outlineLevel="0" collapsed="false">
      <c r="A23" s="4" t="s">
        <v>168</v>
      </c>
      <c r="B23" s="4" t="s">
        <v>101</v>
      </c>
      <c r="C23" s="5" t="s">
        <v>24</v>
      </c>
      <c r="D23" s="5" t="s">
        <v>69</v>
      </c>
      <c r="E23" s="4" t="s">
        <v>169</v>
      </c>
      <c r="F23" s="5" t="s">
        <v>27</v>
      </c>
      <c r="G23" s="5" t="s">
        <v>28</v>
      </c>
      <c r="H23" s="4" t="s">
        <v>29</v>
      </c>
      <c r="I23" s="4" t="n">
        <v>3</v>
      </c>
      <c r="J23" s="4" t="n">
        <v>1587.24</v>
      </c>
      <c r="K23" s="4" t="s">
        <v>30</v>
      </c>
      <c r="L23" s="4" t="s">
        <v>31</v>
      </c>
    </row>
    <row r="24" customFormat="false" ht="18" hidden="false" customHeight="true" outlineLevel="0" collapsed="false">
      <c r="A24" s="2" t="s">
        <v>170</v>
      </c>
      <c r="B24" s="2" t="s">
        <v>123</v>
      </c>
      <c r="C24" s="3" t="s">
        <v>33</v>
      </c>
      <c r="D24" s="3" t="s">
        <v>77</v>
      </c>
      <c r="E24" s="2" t="s">
        <v>171</v>
      </c>
      <c r="F24" s="3" t="s">
        <v>36</v>
      </c>
      <c r="G24" s="3" t="s">
        <v>37</v>
      </c>
      <c r="H24" s="2" t="s">
        <v>38</v>
      </c>
      <c r="I24" s="2" t="n">
        <v>2</v>
      </c>
      <c r="J24" s="2" t="n">
        <v>992.68</v>
      </c>
      <c r="K24" s="2" t="s">
        <v>39</v>
      </c>
      <c r="L24" s="2" t="s">
        <v>31</v>
      </c>
    </row>
    <row r="25" customFormat="false" ht="18" hidden="false" customHeight="true" outlineLevel="0" collapsed="false">
      <c r="A25" s="4" t="s">
        <v>172</v>
      </c>
      <c r="B25" s="4" t="s">
        <v>50</v>
      </c>
      <c r="C25" s="5" t="s">
        <v>42</v>
      </c>
      <c r="D25" s="5" t="s">
        <v>86</v>
      </c>
      <c r="E25" s="4" t="s">
        <v>173</v>
      </c>
      <c r="F25" s="5" t="s">
        <v>45</v>
      </c>
      <c r="G25" s="5" t="s">
        <v>46</v>
      </c>
      <c r="H25" s="4" t="s">
        <v>47</v>
      </c>
      <c r="I25" s="4" t="n">
        <v>5</v>
      </c>
      <c r="J25" s="4" t="n">
        <v>2429.14</v>
      </c>
      <c r="K25" s="4" t="s">
        <v>48</v>
      </c>
      <c r="L25" s="4" t="s">
        <v>31</v>
      </c>
    </row>
    <row r="26" customFormat="false" ht="18" hidden="false" customHeight="true" outlineLevel="0" collapsed="false">
      <c r="A26" s="2" t="s">
        <v>174</v>
      </c>
      <c r="B26" s="2" t="s">
        <v>175</v>
      </c>
      <c r="C26" s="3" t="s">
        <v>51</v>
      </c>
      <c r="D26" s="3" t="s">
        <v>94</v>
      </c>
      <c r="E26" s="2" t="s">
        <v>176</v>
      </c>
      <c r="F26" s="3" t="s">
        <v>54</v>
      </c>
      <c r="G26" s="3" t="s">
        <v>55</v>
      </c>
      <c r="H26" s="2" t="s">
        <v>56</v>
      </c>
      <c r="I26" s="2" t="n">
        <v>2</v>
      </c>
      <c r="J26" s="2" t="n">
        <v>1720.19</v>
      </c>
      <c r="K26" s="2" t="s">
        <v>57</v>
      </c>
      <c r="L26" s="2" t="s">
        <v>31</v>
      </c>
    </row>
    <row r="27" customFormat="false" ht="18" hidden="false" customHeight="true" outlineLevel="0" collapsed="false">
      <c r="A27" s="4" t="s">
        <v>177</v>
      </c>
      <c r="B27" s="4" t="s">
        <v>123</v>
      </c>
      <c r="C27" s="5" t="s">
        <v>60</v>
      </c>
      <c r="D27" s="5" t="s">
        <v>103</v>
      </c>
      <c r="E27" s="4" t="s">
        <v>178</v>
      </c>
      <c r="F27" s="5" t="s">
        <v>63</v>
      </c>
      <c r="G27" s="5" t="s">
        <v>64</v>
      </c>
      <c r="H27" s="4" t="s">
        <v>65</v>
      </c>
      <c r="I27" s="4" t="n">
        <v>6</v>
      </c>
      <c r="J27" s="4" t="n">
        <v>323.3</v>
      </c>
      <c r="K27" s="4" t="s">
        <v>66</v>
      </c>
      <c r="L27" s="4" t="s">
        <v>31</v>
      </c>
    </row>
    <row r="28" customFormat="false" ht="18" hidden="false" customHeight="true" outlineLevel="0" collapsed="false">
      <c r="A28" s="2" t="s">
        <v>179</v>
      </c>
      <c r="B28" s="2" t="s">
        <v>41</v>
      </c>
      <c r="C28" s="3" t="s">
        <v>68</v>
      </c>
      <c r="D28" s="3" t="s">
        <v>110</v>
      </c>
      <c r="E28" s="2" t="s">
        <v>180</v>
      </c>
      <c r="F28" s="3" t="s">
        <v>71</v>
      </c>
      <c r="G28" s="3" t="s">
        <v>72</v>
      </c>
      <c r="H28" s="2" t="s">
        <v>73</v>
      </c>
      <c r="I28" s="2" t="n">
        <v>5</v>
      </c>
      <c r="J28" s="2" t="n">
        <v>2431.13</v>
      </c>
      <c r="K28" s="2" t="s">
        <v>74</v>
      </c>
      <c r="L28" s="2" t="s">
        <v>31</v>
      </c>
    </row>
    <row r="29" customFormat="false" ht="18" hidden="false" customHeight="true" outlineLevel="0" collapsed="false">
      <c r="A29" s="4" t="s">
        <v>181</v>
      </c>
      <c r="B29" s="4" t="s">
        <v>13</v>
      </c>
      <c r="C29" s="5" t="s">
        <v>76</v>
      </c>
      <c r="D29" s="5" t="s">
        <v>117</v>
      </c>
      <c r="E29" s="4" t="s">
        <v>182</v>
      </c>
      <c r="F29" s="5" t="s">
        <v>79</v>
      </c>
      <c r="G29" s="5" t="s">
        <v>80</v>
      </c>
      <c r="H29" s="4" t="s">
        <v>81</v>
      </c>
      <c r="I29" s="4" t="n">
        <v>5</v>
      </c>
      <c r="J29" s="4" t="n">
        <v>2112.09</v>
      </c>
      <c r="K29" s="4" t="s">
        <v>82</v>
      </c>
      <c r="L29" s="4" t="s">
        <v>31</v>
      </c>
    </row>
    <row r="30" customFormat="false" ht="18" hidden="false" customHeight="true" outlineLevel="0" collapsed="false">
      <c r="A30" s="2" t="s">
        <v>183</v>
      </c>
      <c r="B30" s="2" t="s">
        <v>41</v>
      </c>
      <c r="C30" s="3" t="s">
        <v>85</v>
      </c>
      <c r="D30" s="3" t="s">
        <v>125</v>
      </c>
      <c r="E30" s="2" t="s">
        <v>184</v>
      </c>
      <c r="F30" s="3" t="s">
        <v>88</v>
      </c>
      <c r="G30" s="3" t="s">
        <v>89</v>
      </c>
      <c r="H30" s="2" t="s">
        <v>90</v>
      </c>
      <c r="I30" s="2" t="n">
        <v>6</v>
      </c>
      <c r="J30" s="2" t="n">
        <v>1918.15</v>
      </c>
      <c r="K30" s="2" t="s">
        <v>91</v>
      </c>
      <c r="L30" s="2" t="s">
        <v>31</v>
      </c>
    </row>
    <row r="31" customFormat="false" ht="18" hidden="false" customHeight="true" outlineLevel="0" collapsed="false">
      <c r="A31" s="4" t="s">
        <v>185</v>
      </c>
      <c r="B31" s="4" t="s">
        <v>59</v>
      </c>
      <c r="C31" s="5" t="s">
        <v>93</v>
      </c>
      <c r="D31" s="5" t="s">
        <v>132</v>
      </c>
      <c r="E31" s="4" t="s">
        <v>186</v>
      </c>
      <c r="F31" s="5" t="s">
        <v>96</v>
      </c>
      <c r="G31" s="5" t="s">
        <v>97</v>
      </c>
      <c r="H31" s="4" t="s">
        <v>98</v>
      </c>
      <c r="I31" s="4" t="n">
        <v>10</v>
      </c>
      <c r="J31" s="4" t="n">
        <v>844.18</v>
      </c>
      <c r="K31" s="4" t="s">
        <v>99</v>
      </c>
      <c r="L31" s="4" t="s">
        <v>21</v>
      </c>
    </row>
    <row r="32" customFormat="false" ht="18" hidden="false" customHeight="true" outlineLevel="0" collapsed="false">
      <c r="A32" s="2" t="s">
        <v>187</v>
      </c>
      <c r="B32" s="2" t="s">
        <v>23</v>
      </c>
      <c r="C32" s="3" t="s">
        <v>102</v>
      </c>
      <c r="D32" s="3" t="s">
        <v>15</v>
      </c>
      <c r="E32" s="2" t="s">
        <v>188</v>
      </c>
      <c r="F32" s="3" t="s">
        <v>17</v>
      </c>
      <c r="G32" s="3" t="s">
        <v>105</v>
      </c>
      <c r="H32" s="2" t="s">
        <v>106</v>
      </c>
      <c r="I32" s="2" t="n">
        <v>4</v>
      </c>
      <c r="J32" s="2" t="n">
        <v>191.92</v>
      </c>
      <c r="K32" s="2" t="s">
        <v>107</v>
      </c>
      <c r="L32" s="2" t="s">
        <v>31</v>
      </c>
    </row>
    <row r="33" customFormat="false" ht="18" hidden="false" customHeight="true" outlineLevel="0" collapsed="false">
      <c r="A33" s="4" t="s">
        <v>189</v>
      </c>
      <c r="B33" s="4" t="s">
        <v>41</v>
      </c>
      <c r="C33" s="5" t="s">
        <v>109</v>
      </c>
      <c r="D33" s="5" t="s">
        <v>25</v>
      </c>
      <c r="E33" s="4" t="s">
        <v>190</v>
      </c>
      <c r="F33" s="5" t="s">
        <v>27</v>
      </c>
      <c r="G33" s="5" t="s">
        <v>112</v>
      </c>
      <c r="H33" s="4" t="s">
        <v>113</v>
      </c>
      <c r="I33" s="4" t="n">
        <v>8</v>
      </c>
      <c r="J33" s="4" t="n">
        <v>2049.26</v>
      </c>
      <c r="K33" s="4" t="s">
        <v>114</v>
      </c>
      <c r="L33" s="4" t="s">
        <v>31</v>
      </c>
    </row>
    <row r="34" customFormat="false" ht="18" hidden="false" customHeight="true" outlineLevel="0" collapsed="false">
      <c r="A34" s="2" t="s">
        <v>191</v>
      </c>
      <c r="B34" s="2" t="s">
        <v>192</v>
      </c>
      <c r="C34" s="3" t="s">
        <v>116</v>
      </c>
      <c r="D34" s="3" t="s">
        <v>34</v>
      </c>
      <c r="E34" s="2" t="s">
        <v>193</v>
      </c>
      <c r="F34" s="3" t="s">
        <v>36</v>
      </c>
      <c r="G34" s="3" t="s">
        <v>119</v>
      </c>
      <c r="H34" s="2" t="s">
        <v>120</v>
      </c>
      <c r="I34" s="2" t="n">
        <v>3</v>
      </c>
      <c r="J34" s="2" t="n">
        <v>1666.39</v>
      </c>
      <c r="K34" s="2" t="s">
        <v>121</v>
      </c>
      <c r="L34" s="2" t="s">
        <v>31</v>
      </c>
    </row>
    <row r="35" customFormat="false" ht="18" hidden="false" customHeight="true" outlineLevel="0" collapsed="false">
      <c r="A35" s="4" t="s">
        <v>194</v>
      </c>
      <c r="B35" s="4" t="s">
        <v>13</v>
      </c>
      <c r="C35" s="5" t="s">
        <v>124</v>
      </c>
      <c r="D35" s="5" t="s">
        <v>43</v>
      </c>
      <c r="E35" s="4" t="s">
        <v>195</v>
      </c>
      <c r="F35" s="5" t="s">
        <v>45</v>
      </c>
      <c r="G35" s="5" t="s">
        <v>127</v>
      </c>
      <c r="H35" s="4" t="s">
        <v>128</v>
      </c>
      <c r="I35" s="4" t="n">
        <v>9</v>
      </c>
      <c r="J35" s="4" t="n">
        <v>2187.46</v>
      </c>
      <c r="K35" s="4" t="s">
        <v>129</v>
      </c>
      <c r="L35" s="4" t="s">
        <v>31</v>
      </c>
    </row>
    <row r="36" customFormat="false" ht="18" hidden="false" customHeight="true" outlineLevel="0" collapsed="false">
      <c r="A36" s="2" t="s">
        <v>196</v>
      </c>
      <c r="B36" s="2" t="s">
        <v>59</v>
      </c>
      <c r="C36" s="3" t="s">
        <v>131</v>
      </c>
      <c r="D36" s="3" t="s">
        <v>52</v>
      </c>
      <c r="E36" s="2" t="s">
        <v>197</v>
      </c>
      <c r="F36" s="3" t="s">
        <v>54</v>
      </c>
      <c r="G36" s="3" t="s">
        <v>134</v>
      </c>
      <c r="H36" s="2" t="s">
        <v>135</v>
      </c>
      <c r="I36" s="2" t="n">
        <v>4</v>
      </c>
      <c r="J36" s="2" t="n">
        <v>1796.72</v>
      </c>
      <c r="K36" s="2" t="s">
        <v>136</v>
      </c>
      <c r="L36" s="2" t="s">
        <v>21</v>
      </c>
    </row>
    <row r="37" customFormat="false" ht="18" hidden="false" customHeight="true" outlineLevel="0" collapsed="false">
      <c r="A37" s="4" t="s">
        <v>198</v>
      </c>
      <c r="B37" s="4" t="s">
        <v>23</v>
      </c>
      <c r="C37" s="5" t="s">
        <v>138</v>
      </c>
      <c r="D37" s="5" t="s">
        <v>61</v>
      </c>
      <c r="E37" s="4" t="s">
        <v>199</v>
      </c>
      <c r="F37" s="5" t="s">
        <v>63</v>
      </c>
      <c r="G37" s="5" t="s">
        <v>140</v>
      </c>
      <c r="H37" s="4" t="s">
        <v>141</v>
      </c>
      <c r="I37" s="4" t="n">
        <v>9</v>
      </c>
      <c r="J37" s="4" t="n">
        <v>1156.14</v>
      </c>
      <c r="K37" s="4" t="s">
        <v>142</v>
      </c>
      <c r="L37" s="4" t="s">
        <v>21</v>
      </c>
    </row>
    <row r="38" customFormat="false" ht="18" hidden="false" customHeight="true" outlineLevel="0" collapsed="false">
      <c r="A38" s="2" t="s">
        <v>200</v>
      </c>
      <c r="B38" s="2" t="s">
        <v>13</v>
      </c>
      <c r="C38" s="3" t="s">
        <v>144</v>
      </c>
      <c r="D38" s="3" t="s">
        <v>69</v>
      </c>
      <c r="E38" s="2" t="s">
        <v>201</v>
      </c>
      <c r="F38" s="3" t="s">
        <v>71</v>
      </c>
      <c r="G38" s="3" t="s">
        <v>146</v>
      </c>
      <c r="H38" s="2" t="s">
        <v>147</v>
      </c>
      <c r="I38" s="2" t="n">
        <v>1</v>
      </c>
      <c r="J38" s="2" t="n">
        <v>1491.36</v>
      </c>
      <c r="K38" s="2" t="s">
        <v>148</v>
      </c>
      <c r="L38" s="2" t="s">
        <v>21</v>
      </c>
    </row>
    <row r="39" customFormat="false" ht="18" hidden="false" customHeight="true" outlineLevel="0" collapsed="false">
      <c r="A39" s="4" t="s">
        <v>202</v>
      </c>
      <c r="B39" s="4" t="s">
        <v>23</v>
      </c>
      <c r="C39" s="5" t="s">
        <v>150</v>
      </c>
      <c r="D39" s="5" t="s">
        <v>77</v>
      </c>
      <c r="E39" s="4" t="s">
        <v>203</v>
      </c>
      <c r="F39" s="5" t="s">
        <v>79</v>
      </c>
      <c r="G39" s="5" t="s">
        <v>152</v>
      </c>
      <c r="H39" s="4" t="s">
        <v>153</v>
      </c>
      <c r="I39" s="4" t="n">
        <v>2</v>
      </c>
      <c r="J39" s="4" t="n">
        <v>1784.21</v>
      </c>
      <c r="K39" s="4" t="s">
        <v>154</v>
      </c>
      <c r="L39" s="4" t="s">
        <v>21</v>
      </c>
    </row>
    <row r="40" customFormat="false" ht="18" hidden="false" customHeight="true" outlineLevel="0" collapsed="false">
      <c r="A40" s="2" t="s">
        <v>204</v>
      </c>
      <c r="B40" s="2" t="s">
        <v>123</v>
      </c>
      <c r="C40" s="3" t="s">
        <v>156</v>
      </c>
      <c r="D40" s="3" t="s">
        <v>86</v>
      </c>
      <c r="E40" s="2" t="s">
        <v>145</v>
      </c>
      <c r="F40" s="3" t="s">
        <v>88</v>
      </c>
      <c r="G40" s="3" t="s">
        <v>158</v>
      </c>
      <c r="H40" s="2" t="s">
        <v>159</v>
      </c>
      <c r="I40" s="2" t="n">
        <v>6</v>
      </c>
      <c r="J40" s="2" t="n">
        <v>223.6</v>
      </c>
      <c r="K40" s="2" t="s">
        <v>160</v>
      </c>
      <c r="L40" s="2" t="s">
        <v>21</v>
      </c>
    </row>
    <row r="41" customFormat="false" ht="18" hidden="false" customHeight="true" outlineLevel="0" collapsed="false">
      <c r="A41" s="4" t="s">
        <v>205</v>
      </c>
      <c r="B41" s="4" t="s">
        <v>84</v>
      </c>
      <c r="C41" s="5" t="s">
        <v>162</v>
      </c>
      <c r="D41" s="5" t="s">
        <v>94</v>
      </c>
      <c r="E41" s="4" t="s">
        <v>206</v>
      </c>
      <c r="F41" s="5" t="s">
        <v>96</v>
      </c>
      <c r="G41" s="5" t="s">
        <v>164</v>
      </c>
      <c r="H41" s="4" t="s">
        <v>165</v>
      </c>
      <c r="I41" s="4" t="n">
        <v>9</v>
      </c>
      <c r="J41" s="4" t="n">
        <v>374.16</v>
      </c>
      <c r="K41" s="4" t="s">
        <v>166</v>
      </c>
      <c r="L41" s="4" t="s">
        <v>31</v>
      </c>
    </row>
    <row r="42" customFormat="false" ht="18" hidden="false" customHeight="true" outlineLevel="0" collapsed="false">
      <c r="A42" s="2" t="s">
        <v>207</v>
      </c>
      <c r="B42" s="2" t="s">
        <v>101</v>
      </c>
      <c r="C42" s="3" t="s">
        <v>14</v>
      </c>
      <c r="D42" s="3" t="s">
        <v>103</v>
      </c>
      <c r="E42" s="2" t="s">
        <v>208</v>
      </c>
      <c r="F42" s="3" t="s">
        <v>17</v>
      </c>
      <c r="G42" s="3" t="s">
        <v>18</v>
      </c>
      <c r="H42" s="2" t="s">
        <v>19</v>
      </c>
      <c r="I42" s="2" t="n">
        <v>8</v>
      </c>
      <c r="J42" s="2" t="n">
        <v>645.34</v>
      </c>
      <c r="K42" s="2" t="s">
        <v>20</v>
      </c>
      <c r="L42" s="2" t="s">
        <v>31</v>
      </c>
    </row>
    <row r="43" customFormat="false" ht="18" hidden="false" customHeight="true" outlineLevel="0" collapsed="false">
      <c r="A43" s="4" t="s">
        <v>209</v>
      </c>
      <c r="B43" s="4" t="s">
        <v>101</v>
      </c>
      <c r="C43" s="5" t="s">
        <v>24</v>
      </c>
      <c r="D43" s="5" t="s">
        <v>110</v>
      </c>
      <c r="E43" s="4" t="s">
        <v>210</v>
      </c>
      <c r="F43" s="5" t="s">
        <v>27</v>
      </c>
      <c r="G43" s="5" t="s">
        <v>28</v>
      </c>
      <c r="H43" s="4" t="s">
        <v>29</v>
      </c>
      <c r="I43" s="4" t="n">
        <v>2</v>
      </c>
      <c r="J43" s="4" t="n">
        <v>287.48</v>
      </c>
      <c r="K43" s="4" t="s">
        <v>30</v>
      </c>
      <c r="L43" s="4" t="s">
        <v>31</v>
      </c>
    </row>
    <row r="44" customFormat="false" ht="18" hidden="false" customHeight="true" outlineLevel="0" collapsed="false">
      <c r="A44" s="2" t="s">
        <v>211</v>
      </c>
      <c r="B44" s="2" t="s">
        <v>23</v>
      </c>
      <c r="C44" s="3" t="s">
        <v>33</v>
      </c>
      <c r="D44" s="3" t="s">
        <v>117</v>
      </c>
      <c r="E44" s="2" t="s">
        <v>212</v>
      </c>
      <c r="F44" s="3" t="s">
        <v>36</v>
      </c>
      <c r="G44" s="3" t="s">
        <v>37</v>
      </c>
      <c r="H44" s="2" t="s">
        <v>38</v>
      </c>
      <c r="I44" s="2" t="n">
        <v>8</v>
      </c>
      <c r="J44" s="2" t="n">
        <v>2166.4</v>
      </c>
      <c r="K44" s="2" t="s">
        <v>39</v>
      </c>
      <c r="L44" s="2" t="s">
        <v>21</v>
      </c>
    </row>
    <row r="45" customFormat="false" ht="18" hidden="false" customHeight="true" outlineLevel="0" collapsed="false">
      <c r="A45" s="4" t="s">
        <v>213</v>
      </c>
      <c r="B45" s="4" t="s">
        <v>23</v>
      </c>
      <c r="C45" s="5" t="s">
        <v>42</v>
      </c>
      <c r="D45" s="5" t="s">
        <v>125</v>
      </c>
      <c r="E45" s="4" t="s">
        <v>214</v>
      </c>
      <c r="F45" s="5" t="s">
        <v>45</v>
      </c>
      <c r="G45" s="5" t="s">
        <v>46</v>
      </c>
      <c r="H45" s="4" t="s">
        <v>47</v>
      </c>
      <c r="I45" s="4" t="n">
        <v>7</v>
      </c>
      <c r="J45" s="4" t="n">
        <v>1834.12</v>
      </c>
      <c r="K45" s="4" t="s">
        <v>48</v>
      </c>
      <c r="L45" s="4" t="s">
        <v>31</v>
      </c>
    </row>
    <row r="46" customFormat="false" ht="18" hidden="false" customHeight="true" outlineLevel="0" collapsed="false">
      <c r="A46" s="2" t="s">
        <v>215</v>
      </c>
      <c r="B46" s="2" t="s">
        <v>101</v>
      </c>
      <c r="C46" s="3" t="s">
        <v>51</v>
      </c>
      <c r="D46" s="3" t="s">
        <v>132</v>
      </c>
      <c r="E46" s="2" t="s">
        <v>216</v>
      </c>
      <c r="F46" s="3" t="s">
        <v>54</v>
      </c>
      <c r="G46" s="3" t="s">
        <v>55</v>
      </c>
      <c r="H46" s="2" t="s">
        <v>56</v>
      </c>
      <c r="I46" s="2" t="n">
        <v>4</v>
      </c>
      <c r="J46" s="2" t="n">
        <v>516.01</v>
      </c>
      <c r="K46" s="2" t="s">
        <v>57</v>
      </c>
      <c r="L46" s="2" t="s">
        <v>31</v>
      </c>
    </row>
    <row r="47" customFormat="false" ht="18" hidden="false" customHeight="true" outlineLevel="0" collapsed="false">
      <c r="A47" s="4" t="s">
        <v>217</v>
      </c>
      <c r="B47" s="4" t="s">
        <v>23</v>
      </c>
      <c r="C47" s="5" t="s">
        <v>60</v>
      </c>
      <c r="D47" s="5" t="s">
        <v>15</v>
      </c>
      <c r="E47" s="4" t="s">
        <v>218</v>
      </c>
      <c r="F47" s="5" t="s">
        <v>63</v>
      </c>
      <c r="G47" s="5" t="s">
        <v>64</v>
      </c>
      <c r="H47" s="4" t="s">
        <v>65</v>
      </c>
      <c r="I47" s="4" t="n">
        <v>5</v>
      </c>
      <c r="J47" s="4" t="n">
        <v>1183.44</v>
      </c>
      <c r="K47" s="4" t="s">
        <v>66</v>
      </c>
      <c r="L47" s="4" t="s">
        <v>31</v>
      </c>
    </row>
    <row r="48" customFormat="false" ht="18" hidden="false" customHeight="true" outlineLevel="0" collapsed="false">
      <c r="A48" s="2" t="s">
        <v>219</v>
      </c>
      <c r="B48" s="2" t="s">
        <v>41</v>
      </c>
      <c r="C48" s="3" t="s">
        <v>68</v>
      </c>
      <c r="D48" s="3" t="s">
        <v>25</v>
      </c>
      <c r="E48" s="2" t="s">
        <v>220</v>
      </c>
      <c r="F48" s="3" t="s">
        <v>71</v>
      </c>
      <c r="G48" s="3" t="s">
        <v>72</v>
      </c>
      <c r="H48" s="2" t="s">
        <v>73</v>
      </c>
      <c r="I48" s="2" t="n">
        <v>9</v>
      </c>
      <c r="J48" s="2" t="n">
        <v>289.88</v>
      </c>
      <c r="K48" s="2" t="s">
        <v>74</v>
      </c>
      <c r="L48" s="2" t="s">
        <v>31</v>
      </c>
    </row>
    <row r="49" customFormat="false" ht="18" hidden="false" customHeight="true" outlineLevel="0" collapsed="false">
      <c r="A49" s="4" t="s">
        <v>221</v>
      </c>
      <c r="B49" s="4" t="s">
        <v>192</v>
      </c>
      <c r="C49" s="5" t="s">
        <v>76</v>
      </c>
      <c r="D49" s="5" t="s">
        <v>34</v>
      </c>
      <c r="E49" s="4" t="s">
        <v>222</v>
      </c>
      <c r="F49" s="5" t="s">
        <v>79</v>
      </c>
      <c r="G49" s="5" t="s">
        <v>80</v>
      </c>
      <c r="H49" s="4" t="s">
        <v>81</v>
      </c>
      <c r="I49" s="4" t="n">
        <v>2</v>
      </c>
      <c r="J49" s="4" t="n">
        <v>2319.6</v>
      </c>
      <c r="K49" s="4" t="s">
        <v>82</v>
      </c>
      <c r="L49" s="4" t="s">
        <v>31</v>
      </c>
    </row>
    <row r="50" customFormat="false" ht="18" hidden="false" customHeight="true" outlineLevel="0" collapsed="false">
      <c r="A50" s="2" t="s">
        <v>223</v>
      </c>
      <c r="B50" s="2" t="s">
        <v>50</v>
      </c>
      <c r="C50" s="3" t="s">
        <v>85</v>
      </c>
      <c r="D50" s="3" t="s">
        <v>43</v>
      </c>
      <c r="E50" s="2" t="s">
        <v>224</v>
      </c>
      <c r="F50" s="3" t="s">
        <v>88</v>
      </c>
      <c r="G50" s="3" t="s">
        <v>89</v>
      </c>
      <c r="H50" s="2" t="s">
        <v>90</v>
      </c>
      <c r="I50" s="2" t="n">
        <v>8</v>
      </c>
      <c r="J50" s="2" t="n">
        <v>1229.33</v>
      </c>
      <c r="K50" s="2" t="s">
        <v>91</v>
      </c>
      <c r="L50" s="2" t="s">
        <v>31</v>
      </c>
    </row>
    <row r="51" customFormat="false" ht="18" hidden="false" customHeight="true" outlineLevel="0" collapsed="false">
      <c r="A51" s="4" t="s">
        <v>225</v>
      </c>
      <c r="B51" s="4" t="s">
        <v>123</v>
      </c>
      <c r="C51" s="5" t="s">
        <v>93</v>
      </c>
      <c r="D51" s="5" t="s">
        <v>52</v>
      </c>
      <c r="E51" s="4" t="s">
        <v>226</v>
      </c>
      <c r="F51" s="5" t="s">
        <v>96</v>
      </c>
      <c r="G51" s="5" t="s">
        <v>97</v>
      </c>
      <c r="H51" s="4" t="s">
        <v>98</v>
      </c>
      <c r="I51" s="4" t="n">
        <v>7</v>
      </c>
      <c r="J51" s="4" t="n">
        <v>55.28</v>
      </c>
      <c r="K51" s="4" t="s">
        <v>99</v>
      </c>
      <c r="L51" s="4" t="s">
        <v>21</v>
      </c>
    </row>
  </sheetData>
  <autoFilter ref="A1:L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6" t="s">
        <v>227</v>
      </c>
      <c r="B1" s="7" t="n">
        <f aca="false">COUNTA('Satış Cədvəli'!A2:A51)</f>
        <v>50</v>
      </c>
    </row>
    <row r="2" customFormat="false" ht="15" hidden="false" customHeight="false" outlineLevel="0" collapsed="false">
      <c r="A2" s="6" t="s">
        <v>228</v>
      </c>
      <c r="B2" s="7" t="n">
        <f aca="false">SUMPRODUCT('Satış Cədvəli'!I2:I51,'Satış Cədvəli'!J2:J51)</f>
        <v>315718.19</v>
      </c>
    </row>
    <row r="3" customFormat="false" ht="15" hidden="false" customHeight="false" outlineLevel="0" collapsed="false">
      <c r="A3" s="6" t="s">
        <v>229</v>
      </c>
      <c r="B3" s="7" t="n">
        <f aca="false">COUNTIF('Satış Cədvəli'!L2:L51,"Bəli")</f>
        <v>29</v>
      </c>
    </row>
    <row r="4" customFormat="false" ht="15" hidden="false" customHeight="false" outlineLevel="0" collapsed="false">
      <c r="A4" s="6" t="s">
        <v>230</v>
      </c>
      <c r="B4" s="7" t="n">
        <f aca="false">AVERAGE('Satış Cədvəli'!J2:J51)</f>
        <v>1250.93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2026-05-05T08:36:36Z</dcterms:created>
  <dc:creator>openpyxl</dc:creator>
  <dc:description/>
  <dc:language>en-US</dc:language>
  <cp:lastModifiedBy/>
  <dcterms:modified xsi:type="dcterms:W3CDTF">2026-05-05T08:36:36Z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